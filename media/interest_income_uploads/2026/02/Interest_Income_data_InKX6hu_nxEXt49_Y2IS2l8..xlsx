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388\Downloads\"/>
    </mc:Choice>
  </mc:AlternateContent>
  <xr:revisionPtr revIDLastSave="0" documentId="13_ncr:1_{75CBA6DC-A3FD-4167-8C75-C5CD3F2836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P16" i="2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C8" i="2"/>
</calcChain>
</file>

<file path=xl/sharedStrings.xml><?xml version="1.0" encoding="utf-8"?>
<sst xmlns="http://schemas.openxmlformats.org/spreadsheetml/2006/main" count="36" uniqueCount="33">
  <si>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</si>
  <si>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</si>
  <si>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</si>
  <si>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</si>
  <si>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</si>
  <si>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</si>
  <si>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</si>
  <si>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</si>
  <si>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</si>
  <si>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</si>
  <si>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</si>
  <si>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</si>
  <si>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</si>
  <si>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</si>
  <si>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</si>
  <si>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</si>
  <si>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</si>
  <si>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</si>
  <si>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</si>
  <si>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</si>
  <si>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</si>
  <si>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</si>
  <si>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</si>
  <si>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</si>
  <si>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</si>
  <si>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</si>
  <si>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</si>
  <si>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</si>
  <si>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</si>
  <si>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</si>
  <si>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</si>
  <si>
    <t>14625200009126/1</t>
  </si>
  <si>
    <t>tds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</si>
</sst>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  <xf numFmtId="43" fontId="0" fillId="0" borderId="2" xfId="1" applyFont="1" applyBorder="1"/>
    <xf numFmtId="43" fontId="0" fillId="0" borderId="2" xfId="0" applyNumberFormat="1" applyBorder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7"/>
  <sheetViews>
    <sheetView tabSelected="1" zoomScale="80" workbookViewId="0">
      <selection activeCell="G6" sqref="G6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19" t="s">
        <v>0</v>
      </c>
      <c r="C2" s="20"/>
      <c r="D2" s="20"/>
      <c r="E2" s="20"/>
      <c r="F2" s="20"/>
      <c r="G2" s="20"/>
      <c r="H2" s="20"/>
      <c r="I2" s="21" t="s">
        <v>1</v>
      </c>
      <c r="J2" s="22"/>
      <c r="K2" s="22"/>
      <c r="L2" s="22"/>
      <c r="M2" s="23" t="s">
        <v>2</v>
      </c>
      <c r="N2" s="24"/>
      <c r="O2" s="24"/>
      <c r="P2" s="24"/>
      <c r="Q2" s="3"/>
      <c r="R2" s="10"/>
    </row>
    <row r="3" spans="1:18" ht="87" x14ac:dyDescent="0.35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29</v>
      </c>
      <c r="R3" s="9" t="s">
        <v>30</v>
      </c>
    </row>
    <row r="4" spans="1:18" x14ac:dyDescent="0.35">
      <c r="A4" s="1" t="s">
        <v>16</v>
      </c>
      <c r="B4" s="11">
        <v>215.14</v>
      </c>
      <c r="C4" s="11">
        <v>1204164</v>
      </c>
      <c r="D4" s="11">
        <v>264130.3</v>
      </c>
      <c r="E4" s="11"/>
      <c r="F4" s="2"/>
      <c r="G4" s="2"/>
      <c r="H4" s="2"/>
      <c r="I4" s="16">
        <v>0</v>
      </c>
      <c r="J4" s="2"/>
      <c r="K4" s="2"/>
      <c r="L4" s="2"/>
      <c r="M4" s="13">
        <v>5294</v>
      </c>
      <c r="N4" s="14">
        <v>120417</v>
      </c>
      <c r="O4" s="14">
        <v>26432.3</v>
      </c>
      <c r="P4" s="15">
        <f t="shared" ref="P4:P16" si="0">N4+O4</f>
        <v>146849.29999999999</v>
      </c>
      <c r="Q4" s="2"/>
      <c r="R4" s="2"/>
    </row>
    <row r="5" spans="1:18" x14ac:dyDescent="0.35">
      <c r="A5" s="1" t="s">
        <v>17</v>
      </c>
      <c r="B5" s="12">
        <v>3945339</v>
      </c>
      <c r="C5" s="11">
        <v>0</v>
      </c>
      <c r="D5" s="11">
        <v>260384</v>
      </c>
      <c r="E5" s="11"/>
      <c r="F5" s="2"/>
      <c r="G5" s="2"/>
      <c r="H5" s="2"/>
      <c r="I5" s="16">
        <v>316438.36</v>
      </c>
      <c r="J5" s="2"/>
      <c r="K5" s="2"/>
      <c r="L5" s="2"/>
      <c r="M5" s="13">
        <v>28347</v>
      </c>
      <c r="N5" s="14">
        <v>0</v>
      </c>
      <c r="O5" s="14">
        <v>26039</v>
      </c>
      <c r="P5" s="15">
        <f t="shared" si="0"/>
        <v>26039</v>
      </c>
      <c r="Q5" s="2"/>
      <c r="R5" s="2"/>
    </row>
    <row r="6" spans="1:18" x14ac:dyDescent="0.35">
      <c r="A6" s="1" t="s">
        <v>19</v>
      </c>
      <c r="B6" s="11">
        <v>941962</v>
      </c>
      <c r="C6" s="11">
        <v>204515</v>
      </c>
      <c r="D6" s="11">
        <v>5113</v>
      </c>
      <c r="E6" s="11"/>
      <c r="F6" s="2"/>
      <c r="G6" s="2"/>
      <c r="H6" s="2"/>
      <c r="I6" s="16">
        <v>2161472.4000000004</v>
      </c>
      <c r="J6" s="2"/>
      <c r="K6" s="2"/>
      <c r="L6" s="2"/>
      <c r="M6" s="13">
        <v>11768</v>
      </c>
      <c r="N6" s="14">
        <v>0</v>
      </c>
      <c r="O6" s="14">
        <v>20962.8</v>
      </c>
      <c r="P6" s="15">
        <f t="shared" si="0"/>
        <v>20962.8</v>
      </c>
      <c r="Q6" s="2"/>
      <c r="R6" s="2"/>
    </row>
    <row r="7" spans="1:18" x14ac:dyDescent="0.35">
      <c r="A7" s="1" t="s">
        <v>18</v>
      </c>
      <c r="B7" s="11">
        <v>786794.00000000012</v>
      </c>
      <c r="C7" s="11">
        <v>0</v>
      </c>
      <c r="D7" s="11">
        <v>106849</v>
      </c>
      <c r="E7" s="11"/>
      <c r="F7" s="2"/>
      <c r="G7" s="2"/>
      <c r="H7" s="2"/>
      <c r="I7" s="16">
        <v>2647494</v>
      </c>
      <c r="J7" s="2"/>
      <c r="K7" s="2"/>
      <c r="L7" s="2"/>
      <c r="M7" s="13">
        <v>148721</v>
      </c>
      <c r="N7" s="14">
        <v>0</v>
      </c>
      <c r="O7" s="14">
        <v>10685</v>
      </c>
      <c r="P7" s="15">
        <f t="shared" si="0"/>
        <v>10685</v>
      </c>
      <c r="Q7" s="2"/>
      <c r="R7" s="2"/>
    </row>
    <row r="8" spans="1:18" x14ac:dyDescent="0.35">
      <c r="A8" s="1" t="s">
        <v>20</v>
      </c>
      <c r="B8" s="11">
        <v>3679906</v>
      </c>
      <c r="C8" s="11">
        <f>76438+196686+224495</f>
        <v>497619</v>
      </c>
      <c r="D8" s="11">
        <v>0</v>
      </c>
      <c r="E8" s="11"/>
      <c r="F8" s="2"/>
      <c r="G8" s="2"/>
      <c r="H8" s="2"/>
      <c r="I8" s="16">
        <v>882497</v>
      </c>
      <c r="J8" s="2"/>
      <c r="K8" s="2"/>
      <c r="L8" s="2"/>
      <c r="M8" s="13">
        <v>143869</v>
      </c>
      <c r="N8" s="14">
        <f>7644+39683</f>
        <v>47327</v>
      </c>
      <c r="O8" s="14">
        <v>0</v>
      </c>
      <c r="P8" s="15">
        <f t="shared" si="0"/>
        <v>47327</v>
      </c>
      <c r="Q8" s="2"/>
      <c r="R8" s="2"/>
    </row>
    <row r="9" spans="1:18" x14ac:dyDescent="0.35">
      <c r="A9" s="1" t="s">
        <v>21</v>
      </c>
      <c r="B9" s="11">
        <v>4272245</v>
      </c>
      <c r="C9" s="11">
        <v>647908</v>
      </c>
      <c r="D9" s="11">
        <v>333003</v>
      </c>
      <c r="E9" s="11"/>
      <c r="F9" s="2"/>
      <c r="G9" s="2"/>
      <c r="H9" s="2"/>
      <c r="I9" s="16">
        <v>2647492</v>
      </c>
      <c r="J9" s="2"/>
      <c r="K9" s="2"/>
      <c r="L9" s="2"/>
      <c r="M9" s="13">
        <v>150656</v>
      </c>
      <c r="N9" s="14">
        <v>64791</v>
      </c>
      <c r="O9" s="14">
        <v>33320</v>
      </c>
      <c r="P9" s="15">
        <f t="shared" si="0"/>
        <v>98111</v>
      </c>
      <c r="Q9" s="2"/>
      <c r="R9" s="2"/>
    </row>
    <row r="10" spans="1:18" x14ac:dyDescent="0.35">
      <c r="A10" s="1" t="s">
        <v>22</v>
      </c>
      <c r="B10" s="11">
        <v>9273135</v>
      </c>
      <c r="C10" s="11">
        <v>647908</v>
      </c>
      <c r="D10" s="11">
        <v>370006</v>
      </c>
      <c r="E10" s="11"/>
      <c r="F10" s="2"/>
      <c r="G10" s="2"/>
      <c r="H10" s="2"/>
      <c r="I10" s="16">
        <v>2647493</v>
      </c>
      <c r="J10" s="2"/>
      <c r="K10" s="2"/>
      <c r="L10" s="2"/>
      <c r="M10" s="13">
        <v>462</v>
      </c>
      <c r="N10" s="14">
        <v>64790</v>
      </c>
      <c r="O10" s="14">
        <v>37024</v>
      </c>
      <c r="P10" s="15">
        <f t="shared" si="0"/>
        <v>101814</v>
      </c>
      <c r="Q10" s="2"/>
      <c r="R10" s="2"/>
    </row>
    <row r="11" spans="1:18" x14ac:dyDescent="0.35">
      <c r="A11" s="1" t="s">
        <v>23</v>
      </c>
      <c r="B11" s="11">
        <v>1223100</v>
      </c>
      <c r="C11" s="11">
        <v>1294521</v>
      </c>
      <c r="D11" s="11">
        <v>517484</v>
      </c>
      <c r="E11" s="11"/>
      <c r="F11" s="2"/>
      <c r="G11" s="2"/>
      <c r="H11" s="2"/>
      <c r="I11" s="16">
        <v>1384147</v>
      </c>
      <c r="J11" s="2"/>
      <c r="K11" s="2"/>
      <c r="L11" s="2"/>
      <c r="M11" s="13">
        <v>27543</v>
      </c>
      <c r="N11" s="14">
        <v>129452</v>
      </c>
      <c r="O11" s="14">
        <v>51780</v>
      </c>
      <c r="P11" s="15">
        <f t="shared" si="0"/>
        <v>181232</v>
      </c>
      <c r="Q11" s="2"/>
      <c r="R11" s="2"/>
    </row>
    <row r="12" spans="1:18" x14ac:dyDescent="0.35">
      <c r="A12" s="1" t="s">
        <v>24</v>
      </c>
      <c r="B12" s="11">
        <v>3658</v>
      </c>
      <c r="C12" s="11">
        <v>0</v>
      </c>
      <c r="D12" s="11">
        <v>1339041</v>
      </c>
      <c r="E12" s="11"/>
      <c r="F12" s="2"/>
      <c r="G12" s="2"/>
      <c r="H12" s="2"/>
      <c r="I12" s="16">
        <v>1010174</v>
      </c>
      <c r="J12" s="2"/>
      <c r="K12" s="2"/>
      <c r="L12" s="2"/>
      <c r="M12" s="13">
        <v>6810.5</v>
      </c>
      <c r="N12" s="14">
        <v>0</v>
      </c>
      <c r="O12" s="14">
        <v>133904</v>
      </c>
      <c r="P12" s="15">
        <f t="shared" si="0"/>
        <v>133904</v>
      </c>
      <c r="Q12" s="2"/>
      <c r="R12" s="2"/>
    </row>
    <row r="13" spans="1:18" x14ac:dyDescent="0.35">
      <c r="A13" s="1" t="s">
        <v>25</v>
      </c>
      <c r="B13" s="11">
        <v>996734</v>
      </c>
      <c r="C13" s="11">
        <v>976438</v>
      </c>
      <c r="D13" s="11">
        <v>887168</v>
      </c>
      <c r="E13" s="11"/>
      <c r="F13" s="2"/>
      <c r="G13" s="2"/>
      <c r="H13" s="2"/>
      <c r="I13" s="16">
        <v>1097925</v>
      </c>
      <c r="J13" s="2"/>
      <c r="K13" s="2"/>
      <c r="L13" s="2"/>
      <c r="M13" s="13">
        <v>472</v>
      </c>
      <c r="N13" s="14">
        <v>97643</v>
      </c>
      <c r="O13" s="14">
        <v>88768</v>
      </c>
      <c r="P13" s="15">
        <f t="shared" si="0"/>
        <v>186411</v>
      </c>
      <c r="Q13" s="2"/>
      <c r="R13" s="2"/>
    </row>
    <row r="14" spans="1:18" x14ac:dyDescent="0.35">
      <c r="A14" s="1" t="s">
        <v>26</v>
      </c>
      <c r="B14" s="11">
        <v>5424</v>
      </c>
      <c r="C14" s="11">
        <v>0</v>
      </c>
      <c r="D14" s="11">
        <v>143836</v>
      </c>
      <c r="E14" s="11"/>
      <c r="F14" s="2"/>
      <c r="G14" s="2"/>
      <c r="H14" s="2"/>
      <c r="I14" s="16">
        <v>0</v>
      </c>
      <c r="J14" s="2"/>
      <c r="K14" s="2"/>
      <c r="L14" s="2"/>
      <c r="M14" s="13">
        <v>70926</v>
      </c>
      <c r="N14" s="14">
        <v>0</v>
      </c>
      <c r="O14" s="14">
        <v>14383</v>
      </c>
      <c r="P14" s="15">
        <f t="shared" si="0"/>
        <v>14383</v>
      </c>
      <c r="Q14" s="2"/>
      <c r="R14" s="2"/>
    </row>
    <row r="15" spans="1:18" x14ac:dyDescent="0.35">
      <c r="A15" s="1" t="s">
        <v>27</v>
      </c>
      <c r="B15" s="11">
        <v>1270886</v>
      </c>
      <c r="C15" s="11">
        <v>0</v>
      </c>
      <c r="D15" s="11">
        <v>190685</v>
      </c>
      <c r="E15" s="11"/>
      <c r="F15" s="2"/>
      <c r="G15" s="2"/>
      <c r="H15" s="2"/>
      <c r="I15" s="16">
        <v>0</v>
      </c>
      <c r="J15" s="2"/>
      <c r="K15" s="2"/>
      <c r="L15" s="2"/>
      <c r="M15" s="13">
        <v>127726</v>
      </c>
      <c r="N15" s="14">
        <v>0</v>
      </c>
      <c r="O15" s="14">
        <v>19069</v>
      </c>
      <c r="P15" s="15">
        <f t="shared" si="0"/>
        <v>19069</v>
      </c>
      <c r="Q15" s="2"/>
      <c r="R15" s="2"/>
    </row>
    <row r="16" spans="1:18" x14ac:dyDescent="0.35">
      <c r="A16" s="1" t="s">
        <v>28</v>
      </c>
      <c r="B16" s="11">
        <v>1435686</v>
      </c>
      <c r="C16" s="11">
        <v>90822</v>
      </c>
      <c r="D16" s="11">
        <v>16301</v>
      </c>
      <c r="E16" s="11"/>
      <c r="F16" s="2"/>
      <c r="G16" s="2"/>
      <c r="H16" s="2"/>
      <c r="I16" s="16">
        <v>0</v>
      </c>
      <c r="J16" s="2"/>
      <c r="K16" s="2"/>
      <c r="L16" s="2"/>
      <c r="M16" s="13">
        <v>74046</v>
      </c>
      <c r="N16" s="14">
        <v>0</v>
      </c>
      <c r="O16" s="14">
        <v>10712</v>
      </c>
      <c r="P16" s="15">
        <f t="shared" si="0"/>
        <v>10712</v>
      </c>
      <c r="Q16" s="2"/>
      <c r="R16" s="2"/>
    </row>
    <row r="17" spans="1:18" x14ac:dyDescent="0.35">
      <c r="A17" t="s">
        <v>31</v>
      </c>
      <c r="B17" s="17">
        <v>1705520</v>
      </c>
      <c r="C17" s="11">
        <v>537480</v>
      </c>
      <c r="D17" s="2"/>
      <c r="E17" s="18"/>
      <c r="F17" s="2"/>
      <c r="G17" s="2"/>
      <c r="H17" s="2"/>
      <c r="I17" s="2"/>
      <c r="J17" s="2"/>
      <c r="K17" s="2"/>
      <c r="L17" s="2"/>
      <c r="M17" s="17">
        <v>170553</v>
      </c>
      <c r="N17" s="2">
        <v>53748</v>
      </c>
      <c r="O17" s="2"/>
      <c r="P17" s="18">
        <f>M17+N17-O17</f>
        <v>224301</v>
      </c>
      <c r="Q17">
        <v>2000000</v>
      </c>
      <c r="R17" t="s">
        <v>32</v>
      </c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2026-02-20T05:23:00Z</dcterms:modified>
</cp:coreProperties>
</file>